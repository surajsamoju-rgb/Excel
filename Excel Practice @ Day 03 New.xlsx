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<sst xmlns="http://schemas.openxmlformats.org/spreadsheetml/2006/main" count="468" uniqueCount="234">
  <si>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</si>
  <si>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</si>
  <si>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</si>
  <si>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</si>
  <si>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</si>
  <si>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</si>
  <si>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</si>
  <si>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</si>
  <si>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</si>
  <si>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</si>
  <si>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</si>
  <si>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</si>
  <si>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</si>
  <si>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Payment Alert</t>
  </si>
  <si>
    <t>Bill Category</t>
  </si>
  <si>
    <t>Age Category</t>
  </si>
  <si>
    <t>Bill Case</t>
  </si>
  <si>
    <t>P1001</t>
  </si>
  <si>
    <t>Aarav Sharma</t>
  </si>
  <si>
    <t>Male</t>
  </si>
  <si>
    <t>Cardiology</t>
  </si>
  <si>
    <t>Hypertension</t>
  </si>
  <si>
    <t>Dr Rao</t>
  </si>
  <si>
    <t>Private Insurance</t>
  </si>
  <si>
    <t>Paid</t>
  </si>
  <si>
    <t>P1002</t>
  </si>
  <si>
    <t>Diya Patel</t>
  </si>
  <si>
    <t>Female</t>
  </si>
  <si>
    <t>Orthopedics</t>
  </si>
  <si>
    <t>Fracture</t>
  </si>
  <si>
    <t>Dr Mehta</t>
  </si>
  <si>
    <t>Government</t>
  </si>
  <si>
    <t>P1003</t>
  </si>
  <si>
    <t>Rohan Kumar</t>
  </si>
  <si>
    <t>General Medicine</t>
  </si>
  <si>
    <t>Diabetes</t>
  </si>
  <si>
    <t>Dr Singh</t>
  </si>
  <si>
    <t>P1004</t>
  </si>
  <si>
    <t>Ananya Reddy</t>
  </si>
  <si>
    <t>Chest Pain</t>
  </si>
  <si>
    <t>Self Pay</t>
  </si>
  <si>
    <t>Pending</t>
  </si>
  <si>
    <t>P1005</t>
  </si>
  <si>
    <t>Vikram Singh</t>
  </si>
  <si>
    <t>Neurology</t>
  </si>
  <si>
    <t>Migraine</t>
  </si>
  <si>
    <t>Dr Khan</t>
  </si>
  <si>
    <t>P1006</t>
  </si>
  <si>
    <t>Meera Nair</t>
  </si>
  <si>
    <t>Asthma</t>
  </si>
  <si>
    <t>P1007</t>
  </si>
  <si>
    <t>Arjun Verma</t>
  </si>
  <si>
    <t>Heart Disease</t>
  </si>
  <si>
    <t>P1008</t>
  </si>
  <si>
    <t>Sneha Iyer</t>
  </si>
  <si>
    <t>Dermatology</t>
  </si>
  <si>
    <t>Skin Allergy</t>
  </si>
  <si>
    <t>Dr Thomas</t>
  </si>
  <si>
    <t>P1009</t>
  </si>
  <si>
    <t>Karan Shah</t>
  </si>
  <si>
    <t>Arthritis</t>
  </si>
  <si>
    <t>P1010</t>
  </si>
  <si>
    <t>Priya Das</t>
  </si>
  <si>
    <t>Fever</t>
  </si>
  <si>
    <t>P1011</t>
  </si>
  <si>
    <t>Aditya Rao</t>
  </si>
  <si>
    <t>P1012</t>
  </si>
  <si>
    <t>Kavya Menon</t>
  </si>
  <si>
    <t>Seizure Disorder</t>
  </si>
  <si>
    <t>P1013</t>
  </si>
  <si>
    <t>Raj Malhotra</t>
  </si>
  <si>
    <t>Back Pain</t>
  </si>
  <si>
    <t>P1014</t>
  </si>
  <si>
    <t>Ishita Gupta</t>
  </si>
  <si>
    <t>Psoriasis</t>
  </si>
  <si>
    <t>P1015</t>
  </si>
  <si>
    <t>Manish Yadav</t>
  </si>
  <si>
    <t>P1016</t>
  </si>
  <si>
    <t>Neha Joshi</t>
  </si>
  <si>
    <t>P1017</t>
  </si>
  <si>
    <t>Rahul Bose</t>
  </si>
  <si>
    <t>P1018</t>
  </si>
  <si>
    <t>Simran Kaur</t>
  </si>
  <si>
    <t>P1019</t>
  </si>
  <si>
    <t>Varun Kapoor</t>
  </si>
  <si>
    <t>P1020</t>
  </si>
  <si>
    <t>Pooja Agarwal</t>
  </si>
  <si>
    <t>P1021</t>
  </si>
  <si>
    <t>Harsh Jain</t>
  </si>
  <si>
    <t>P1022</t>
  </si>
  <si>
    <t>Nandini Rao</t>
  </si>
  <si>
    <t>P1023</t>
  </si>
  <si>
    <t>Siddharth Roy</t>
  </si>
  <si>
    <t>P1024</t>
  </si>
  <si>
    <t>Shreya Kapoor</t>
  </si>
  <si>
    <t>P1025</t>
  </si>
  <si>
    <t>Abhishek Das</t>
  </si>
  <si>
    <t>P1026</t>
  </si>
  <si>
    <t>Anjali Shah</t>
  </si>
  <si>
    <t>P1027</t>
  </si>
  <si>
    <t>Mohit Verma</t>
  </si>
  <si>
    <t>P1028</t>
  </si>
  <si>
    <t>Riya Menon</t>
  </si>
  <si>
    <t>P1029</t>
  </si>
  <si>
    <t>Deepak Nair</t>
  </si>
  <si>
    <t>P1030</t>
  </si>
  <si>
    <t>Anu Reddy</t>
  </si>
  <si>
    <t>P1031</t>
  </si>
  <si>
    <t>Sameer Khan</t>
  </si>
  <si>
    <t>P1032</t>
  </si>
  <si>
    <t>Divya Iyer</t>
  </si>
  <si>
    <t>P1033</t>
  </si>
  <si>
    <t>Akash Gupta</t>
  </si>
  <si>
    <t>P1034</t>
  </si>
  <si>
    <t>Lakshmi Rao</t>
  </si>
  <si>
    <t>P1035</t>
  </si>
  <si>
    <t>Nikhil Sharma</t>
  </si>
  <si>
    <t>P1036</t>
  </si>
  <si>
    <t>Swati Patel</t>
  </si>
  <si>
    <t>P1037</t>
  </si>
  <si>
    <t>Varun Reddy</t>
  </si>
  <si>
    <t>P1038</t>
  </si>
  <si>
    <t>Rekha Menon</t>
  </si>
  <si>
    <t>P1039</t>
  </si>
  <si>
    <t>Arvind Joshi</t>
  </si>
  <si>
    <t>P1040</t>
  </si>
  <si>
    <t>Sonali Shah</t>
  </si>
  <si>
    <t>Find total hospital billing.</t>
  </si>
  <si>
    <t>Find total billing for Neurology department.</t>
  </si>
  <si>
    <t>Count patients in Dermatology department.</t>
  </si>
  <si>
    <t>Find average bill by Neurology department.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</si>
  <si>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</si>
  <si>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</si>
  <si>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</si>
  <si>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</si>
  <si>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</si>
  <si>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</si>
  <si>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</si>
  <si>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</si>
  <si>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</si>
  <si>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</si>
  <si>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</si>
  <si>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</si>
  <si>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</si>
  <si>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</si>
  <si>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Number of Cardiology patients with Pending payments</t>
  </si>
  <si>
    <t>Average bill for Cardiology + Government Insurance</t>
  </si>
  <si>
    <t>Question:</t>
  </si>
  <si>
    <r>
      <rPr>
        <sz val="11"/>
        <color theme="1"/>
        <rFont val="Calibri"/>
        <charset val="134"/>
        <scheme val="minor"/>
      </rPr>
      <t xml:space="preserve">Create a new column called </t>
    </r>
    <r>
      <rPr>
        <b/>
        <sz val="11"/>
        <color theme="1"/>
        <rFont val="Calibri"/>
        <charset val="134"/>
        <scheme val="minor"/>
      </rPr>
      <t>Payment Alert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</si>
  <si>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If Payment Status is </t>
    </r>
    <r>
      <rPr>
        <sz val="10"/>
        <color theme="1"/>
        <rFont val="Arial Unicode MS"/>
        <charset val="134"/>
      </rPr>
      <t>Pending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"Follow Up"</t>
    </r>
    <r>
      <rPr>
        <sz val="11"/>
        <color theme="1"/>
        <rFont val="Calibri"/>
        <charset val="134"/>
        <scheme val="minor"/>
      </rPr>
      <t xml:space="preserve">, otherwise display </t>
    </r>
    <r>
      <rPr>
        <b/>
        <sz val="11"/>
        <color theme="1"/>
        <rFont val="Calibri"/>
        <charset val="134"/>
        <scheme val="minor"/>
      </rPr>
      <t>"No Action"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</si>
  <si>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Create a column called </t>
    </r>
    <r>
      <rPr>
        <b/>
        <sz val="11"/>
        <color theme="1"/>
        <rFont val="Calibri"/>
        <charset val="134"/>
        <scheme val="minor"/>
      </rPr>
      <t>Bill Category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</si>
  <si>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Bill &gt; ₹40,000 → </t>
    </r>
    <r>
      <rPr>
        <sz val="10"/>
        <color theme="1"/>
        <rFont val="Arial Unicode MS"/>
        <charset val="134"/>
      </rPr>
      <t>High Bill</t>
    </r>
  </si>
  <si>
    <r>
      <rPr>
        <sz val="11"/>
        <color theme="1"/>
        <rFont val="Calibri"/>
        <charset val="134"/>
        <scheme val="minor"/>
      </rPr>
      <t xml:space="preserve">Otherwise → </t>
    </r>
    <r>
      <rPr>
        <sz val="10"/>
        <color theme="1"/>
        <rFont val="Arial Unicode MS"/>
        <charset val="134"/>
      </rPr>
      <t>Normal Bill</t>
    </r>
  </si>
  <si>
    <r>
      <rPr>
        <sz val="11"/>
        <color theme="1"/>
        <rFont val="Calibri"/>
        <charset val="134"/>
        <scheme val="minor"/>
      </rPr>
      <t xml:space="preserve">Create a column called </t>
    </r>
    <r>
      <rPr>
        <b/>
        <sz val="11"/>
        <color theme="1"/>
        <rFont val="Calibri"/>
        <charset val="134"/>
        <scheme val="minor"/>
      </rPr>
      <t>Age Category</t>
    </r>
    <r>
      <rPr>
        <sz val="11"/>
        <color theme="1"/>
        <rFont val="Calibri"/>
        <charset val="134"/>
        <scheme val="minor"/>
      </rPr>
      <t>.</t>
    </r>
  </si>
  <si>
    <t>If Age is 60 or above:Senior Citizen</t>
  </si>
  <si>
    <t>Otherwise:Non-Senior</t>
  </si>
  <si>
    <r>
      <rPr>
        <sz val="11"/>
        <color theme="1"/>
        <rFont val="Calibri"/>
        <charset val="134"/>
        <scheme val="minor"/>
      </rPr>
      <t xml:space="preserve">A patient is a </t>
    </r>
    <r>
      <rPr>
        <b/>
        <sz val="11"/>
        <color theme="1"/>
        <rFont val="Calibri"/>
        <charset val="134"/>
        <scheme val="minor"/>
      </rPr>
      <t>High Billing Case</t>
    </r>
    <r>
      <rPr>
        <sz val="11"/>
        <color theme="1"/>
        <rFont val="Calibri"/>
        <charset val="134"/>
        <scheme val="minor"/>
      </rPr>
      <t xml:space="preserve"> if:</t>
    </r>
  </si>
  <si>
    <t>Bill Amount &gt; ₹40,000</t>
  </si>
  <si>
    <t>AND</t>
  </si>
  <si>
    <t>Length of Stay &gt; 5 days</t>
  </si>
  <si>
    <r>
      <rPr>
        <sz val="11"/>
        <color theme="1"/>
        <rFont val="Calibri"/>
        <charset val="134"/>
        <scheme val="minor"/>
      </rPr>
      <t xml:space="preserve">A patient requires </t>
    </r>
    <r>
      <rPr>
        <b/>
        <sz val="11"/>
        <color theme="1"/>
        <rFont val="Calibri"/>
        <charset val="134"/>
        <scheme val="minor"/>
      </rPr>
      <t>urgent payment follow-up</t>
    </r>
    <r>
      <rPr>
        <sz val="11"/>
        <color theme="1"/>
        <rFont val="Calibri"/>
        <charset val="134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</si>
  <si>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</si>
  <si>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</si>
  <si>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</si>
  <si>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</si>
  <si>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</si>
  <si>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rPr>
        <sz val="11"/>
        <color theme="1"/>
        <rFont val="Calibri"/>
        <charset val="134"/>
        <scheme val="minor"/>
      </rPr>
      <t xml:space="preserve">If the payment status is </t>
    </r>
    <r>
      <rPr>
        <b/>
        <sz val="11"/>
        <color theme="1"/>
        <rFont val="Calibri"/>
        <charset val="134"/>
        <scheme val="minor"/>
      </rPr>
      <t>NOT Pending</t>
    </r>
    <r>
      <rPr>
        <sz val="11"/>
        <color theme="1"/>
        <rFont val="Calibri"/>
        <charset val="134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</si>
  <si>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</si>
  <si>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</si>
  <si>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</si>
  <si>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</si>
  <si>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</si>
  <si>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</si>
  <si>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&gt;50000</t>
  </si>
  <si>
    <t>≥ ₹30,000</t>
  </si>
  <si>
    <t>High</t>
  </si>
  <si>
    <t>&gt;30000 and &lt;=50000</t>
  </si>
  <si>
    <t>≥ ₹15,000</t>
  </si>
  <si>
    <t>Medium</t>
  </si>
  <si>
    <t>&gt;=15000 and &lt;=30000</t>
  </si>
  <si>
    <t>&lt; ₹15,000</t>
  </si>
  <si>
    <t>Low</t>
  </si>
  <si>
    <t>&lt;15000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</si>
  <si>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</si>
  <si>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</si>
  <si>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</si>
  <si>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</si>
  <si>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</si>
  <si>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</si>
  <si>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rPr>
        <sz val="11"/>
        <color theme="1"/>
        <rFont val="Calibri"/>
        <charset val="134"/>
        <scheme val="minor"/>
      </rPr>
      <t xml:space="preserve">They are from </t>
    </r>
    <r>
      <rPr>
        <b/>
        <sz val="11"/>
        <color theme="1"/>
        <rFont val="Calibri"/>
        <charset val="134"/>
        <scheme val="minor"/>
      </rPr>
      <t>Cardiology OR Orthopedics</t>
    </r>
    <r>
      <rPr>
        <sz val="11"/>
        <color theme="1"/>
        <rFont val="Calibri"/>
        <charset val="134"/>
        <scheme val="minor"/>
      </rPr>
      <t>,</t>
    </r>
  </si>
  <si>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 xml:space="preserve"> their bill is greater than ₹30,000.</t>
    </r>
    <r>
      <rPr>
        <b/>
        <sz val="11"/>
        <color theme="1"/>
        <rFont val="Calibri"/>
        <charset val="134"/>
        <scheme val="minor"/>
      </rPr>
      <t xml:space="preserve"> then MR, NO Review</t>
    </r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</si>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</sst>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;[Red]&quot;₹&quot;\ \-#,##0"/>
    <numFmt numFmtId="181" formatCode="&quot;₹&quot;\ #,##0.00;[Red]&quot;₹&quot;\ \-#,##0.00"/>
    <numFmt numFmtId="182" formatCode="yyyy/mm/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80" fontId="1" fillId="0" borderId="0" xfId="0" applyNumberFormat="1" applyFont="1" applyAlignment="1">
      <alignment horizontal="right" vertical="center" wrapText="1"/>
    </xf>
    <xf numFmtId="181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tabSelected="1" zoomScale="170" zoomScaleNormal="170" topLeftCell="E60" workbookViewId="0">
      <selection activeCell="H48" sqref="H48"/>
    </sheetView>
  </sheetViews>
  <sheetFormatPr defaultColWidth="9" defaultRowHeight="14.4"/>
  <cols>
    <col min="1" max="1" width="10.1111111111111" customWidth="1"/>
    <col min="2" max="2" width="16.2222222222222" customWidth="1"/>
    <col min="5" max="5" width="19.7777777777778" customWidth="1"/>
    <col min="6" max="6" width="15.8888888888889" customWidth="1"/>
    <col min="7" max="7" width="18.3333333333333" customWidth="1"/>
    <col min="8" max="8" width="23" customWidth="1"/>
    <col min="9" max="9" width="16.6666666666667" customWidth="1"/>
    <col min="10" max="10" width="19.5555555555556" customWidth="1"/>
    <col min="11" max="11" width="16.8888888888889" customWidth="1"/>
    <col min="12" max="12" width="18.4444444444444" customWidth="1"/>
    <col min="13" max="13" width="16.4444444444444" customWidth="1"/>
    <col min="14" max="14" width="15.4444444444444" customWidth="1"/>
    <col min="15" max="15" width="14.7777777777778" customWidth="1"/>
    <col min="16" max="16" width="15.8888888888889" customWidth="1"/>
    <col min="17" max="17" width="21" customWidth="1"/>
    <col min="18" max="18" width="17.3333333333333" customWidth="1"/>
    <col min="19" max="19" width="17.6666666666667" customWidth="1"/>
    <col min="20" max="20" width="18.1111111111111" customWidth="1"/>
    <col min="22" max="22" width="22" customWidth="1"/>
  </cols>
  <sheetData>
    <row r="1" spans="1:2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/>
      <c r="S1" s="13"/>
      <c r="T1" s="13"/>
      <c r="U1" t="s">
        <v>14</v>
      </c>
    </row>
    <row r="2" spans="1:22">
      <c r="A2" t="s">
        <v>17</v>
      </c>
      <c r="B2" t="s">
        <v>18</v>
      </c>
      <c r="C2">
        <v>34</v>
      </c>
      <c r="D2" t="s">
        <v>19</v>
      </c>
      <c r="E2" t="s">
        <v>20</v>
      </c>
      <c r="F2" t="s">
        <v>21</v>
      </c>
      <c r="G2" s="14">
        <v>46027</v>
      </c>
      <c r="H2" s="14">
        <v>46030</v>
      </c>
      <c r="I2" t="s">
        <v>22</v>
      </c>
      <c r="J2" t="s">
        <v>23</v>
      </c>
      <c r="K2">
        <v>18500</v>
      </c>
      <c r="L2" t="s">
        <v>24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25</v>
      </c>
      <c r="B3" t="s">
        <v>26</v>
      </c>
      <c r="C3">
        <v>52</v>
      </c>
      <c r="D3" t="s">
        <v>27</v>
      </c>
      <c r="E3" t="s">
        <v>28</v>
      </c>
      <c r="F3" t="s">
        <v>29</v>
      </c>
      <c r="G3" s="14">
        <v>46029</v>
      </c>
      <c r="H3" s="14">
        <v>46037</v>
      </c>
      <c r="I3" t="s">
        <v>30</v>
      </c>
      <c r="J3" t="s">
        <v>31</v>
      </c>
      <c r="K3">
        <v>42000</v>
      </c>
      <c r="L3" t="s">
        <v>24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32</v>
      </c>
      <c r="B4" t="s">
        <v>33</v>
      </c>
      <c r="C4">
        <v>28</v>
      </c>
      <c r="D4" t="s">
        <v>19</v>
      </c>
      <c r="E4" t="s">
        <v>34</v>
      </c>
      <c r="F4" t="s">
        <v>35</v>
      </c>
      <c r="G4" s="14">
        <v>46032</v>
      </c>
      <c r="H4" s="14">
        <v>46035</v>
      </c>
      <c r="I4" t="s">
        <v>36</v>
      </c>
      <c r="J4" t="s">
        <v>23</v>
      </c>
      <c r="K4">
        <v>12000</v>
      </c>
      <c r="L4" t="s">
        <v>24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37</v>
      </c>
      <c r="B5" t="s">
        <v>38</v>
      </c>
      <c r="C5">
        <v>45</v>
      </c>
      <c r="D5" t="s">
        <v>27</v>
      </c>
      <c r="E5" t="s">
        <v>20</v>
      </c>
      <c r="F5" t="s">
        <v>39</v>
      </c>
      <c r="G5" s="14">
        <v>46034</v>
      </c>
      <c r="H5" s="14">
        <v>46039</v>
      </c>
      <c r="I5" t="s">
        <v>22</v>
      </c>
      <c r="J5" t="s">
        <v>40</v>
      </c>
      <c r="K5">
        <v>27500</v>
      </c>
      <c r="L5" t="s">
        <v>41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42</v>
      </c>
      <c r="B6" t="s">
        <v>43</v>
      </c>
      <c r="C6">
        <v>67</v>
      </c>
      <c r="D6" t="s">
        <v>19</v>
      </c>
      <c r="E6" t="s">
        <v>44</v>
      </c>
      <c r="F6" t="s">
        <v>45</v>
      </c>
      <c r="G6" s="14">
        <v>46037</v>
      </c>
      <c r="H6" s="14">
        <v>46040</v>
      </c>
      <c r="I6" t="s">
        <v>46</v>
      </c>
      <c r="J6" t="s">
        <v>31</v>
      </c>
      <c r="K6">
        <v>16000</v>
      </c>
      <c r="L6" t="s">
        <v>24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47</v>
      </c>
      <c r="B7" t="s">
        <v>48</v>
      </c>
      <c r="C7">
        <v>39</v>
      </c>
      <c r="D7" t="s">
        <v>27</v>
      </c>
      <c r="E7" t="s">
        <v>34</v>
      </c>
      <c r="F7" t="s">
        <v>49</v>
      </c>
      <c r="G7" s="14">
        <v>46040</v>
      </c>
      <c r="H7" s="14">
        <v>46042</v>
      </c>
      <c r="I7" t="s">
        <v>36</v>
      </c>
      <c r="J7" t="s">
        <v>23</v>
      </c>
      <c r="K7">
        <v>9500</v>
      </c>
      <c r="L7" t="s">
        <v>24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50</v>
      </c>
      <c r="B8" t="s">
        <v>51</v>
      </c>
      <c r="C8">
        <v>73</v>
      </c>
      <c r="D8" t="s">
        <v>19</v>
      </c>
      <c r="E8" t="s">
        <v>20</v>
      </c>
      <c r="F8" t="s">
        <v>52</v>
      </c>
      <c r="G8" s="14">
        <v>46042</v>
      </c>
      <c r="H8" s="14">
        <v>46051</v>
      </c>
      <c r="I8" t="s">
        <v>22</v>
      </c>
      <c r="J8" t="s">
        <v>31</v>
      </c>
      <c r="K8">
        <v>68000</v>
      </c>
      <c r="L8" t="s">
        <v>41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53</v>
      </c>
      <c r="B9" t="s">
        <v>54</v>
      </c>
      <c r="C9">
        <v>31</v>
      </c>
      <c r="D9" t="s">
        <v>27</v>
      </c>
      <c r="E9" t="s">
        <v>55</v>
      </c>
      <c r="F9" t="s">
        <v>56</v>
      </c>
      <c r="G9" s="14">
        <v>46044</v>
      </c>
      <c r="H9" s="14">
        <v>46046</v>
      </c>
      <c r="I9" t="s">
        <v>57</v>
      </c>
      <c r="J9" t="s">
        <v>40</v>
      </c>
      <c r="K9">
        <v>7500</v>
      </c>
      <c r="L9" t="s">
        <v>24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58</v>
      </c>
      <c r="B10" t="s">
        <v>59</v>
      </c>
      <c r="C10">
        <v>56</v>
      </c>
      <c r="D10" t="s">
        <v>19</v>
      </c>
      <c r="E10" t="s">
        <v>28</v>
      </c>
      <c r="F10" t="s">
        <v>60</v>
      </c>
      <c r="G10" s="14">
        <v>46047</v>
      </c>
      <c r="H10" s="14">
        <v>46052</v>
      </c>
      <c r="I10" t="s">
        <v>30</v>
      </c>
      <c r="J10" t="s">
        <v>23</v>
      </c>
      <c r="K10">
        <v>24000</v>
      </c>
      <c r="L10" t="s">
        <v>24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61</v>
      </c>
      <c r="B11" t="s">
        <v>62</v>
      </c>
      <c r="C11">
        <v>24</v>
      </c>
      <c r="D11" t="s">
        <v>27</v>
      </c>
      <c r="E11" t="s">
        <v>34</v>
      </c>
      <c r="F11" t="s">
        <v>63</v>
      </c>
      <c r="G11" s="14">
        <v>46050</v>
      </c>
      <c r="H11" s="14">
        <v>46052</v>
      </c>
      <c r="I11" t="s">
        <v>36</v>
      </c>
      <c r="J11" t="s">
        <v>40</v>
      </c>
      <c r="K11">
        <v>6500</v>
      </c>
      <c r="L11" t="s">
        <v>24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64</v>
      </c>
      <c r="B12" t="s">
        <v>65</v>
      </c>
      <c r="C12">
        <v>61</v>
      </c>
      <c r="D12" t="s">
        <v>19</v>
      </c>
      <c r="E12" t="s">
        <v>20</v>
      </c>
      <c r="F12" t="s">
        <v>21</v>
      </c>
      <c r="G12" s="14">
        <v>46055</v>
      </c>
      <c r="H12" s="14">
        <v>46059</v>
      </c>
      <c r="I12" t="s">
        <v>22</v>
      </c>
      <c r="J12" t="s">
        <v>23</v>
      </c>
      <c r="K12">
        <v>22000</v>
      </c>
      <c r="L12" t="s">
        <v>24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66</v>
      </c>
      <c r="B13" t="s">
        <v>67</v>
      </c>
      <c r="C13">
        <v>48</v>
      </c>
      <c r="D13" t="s">
        <v>27</v>
      </c>
      <c r="E13" t="s">
        <v>44</v>
      </c>
      <c r="F13" t="s">
        <v>68</v>
      </c>
      <c r="G13" s="14">
        <v>46057</v>
      </c>
      <c r="H13" s="14">
        <v>46064</v>
      </c>
      <c r="I13" t="s">
        <v>46</v>
      </c>
      <c r="J13" t="s">
        <v>31</v>
      </c>
      <c r="K13">
        <v>39000</v>
      </c>
      <c r="L13" t="s">
        <v>41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69</v>
      </c>
      <c r="B14" t="s">
        <v>70</v>
      </c>
      <c r="C14">
        <v>36</v>
      </c>
      <c r="D14" t="s">
        <v>19</v>
      </c>
      <c r="E14" t="s">
        <v>28</v>
      </c>
      <c r="F14" t="s">
        <v>71</v>
      </c>
      <c r="G14" s="14">
        <v>46059</v>
      </c>
      <c r="H14" s="14">
        <v>46062</v>
      </c>
      <c r="I14" t="s">
        <v>30</v>
      </c>
      <c r="J14" t="s">
        <v>40</v>
      </c>
      <c r="K14">
        <v>14500</v>
      </c>
      <c r="L14" t="s">
        <v>24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72</v>
      </c>
      <c r="B15" t="s">
        <v>73</v>
      </c>
      <c r="C15">
        <v>42</v>
      </c>
      <c r="D15" t="s">
        <v>27</v>
      </c>
      <c r="E15" t="s">
        <v>55</v>
      </c>
      <c r="F15" t="s">
        <v>74</v>
      </c>
      <c r="G15" s="14">
        <v>46061</v>
      </c>
      <c r="H15" s="14">
        <v>46065</v>
      </c>
      <c r="I15" t="s">
        <v>57</v>
      </c>
      <c r="J15" t="s">
        <v>23</v>
      </c>
      <c r="K15">
        <v>18000</v>
      </c>
      <c r="L15" t="s">
        <v>24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75</v>
      </c>
      <c r="B16" t="s">
        <v>76</v>
      </c>
      <c r="C16">
        <v>69</v>
      </c>
      <c r="D16" t="s">
        <v>19</v>
      </c>
      <c r="E16" t="s">
        <v>20</v>
      </c>
      <c r="F16" t="s">
        <v>52</v>
      </c>
      <c r="G16" s="14">
        <v>46063</v>
      </c>
      <c r="H16" s="14">
        <v>46073</v>
      </c>
      <c r="I16" t="s">
        <v>22</v>
      </c>
      <c r="J16" t="s">
        <v>31</v>
      </c>
      <c r="K16">
        <v>72000</v>
      </c>
      <c r="L16" t="s">
        <v>41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77</v>
      </c>
      <c r="B17" t="s">
        <v>78</v>
      </c>
      <c r="C17">
        <v>29</v>
      </c>
      <c r="D17" t="s">
        <v>27</v>
      </c>
      <c r="E17" t="s">
        <v>34</v>
      </c>
      <c r="F17" t="s">
        <v>35</v>
      </c>
      <c r="G17" s="14">
        <v>46065</v>
      </c>
      <c r="H17" s="14">
        <v>46068</v>
      </c>
      <c r="I17" t="s">
        <v>36</v>
      </c>
      <c r="J17" t="s">
        <v>40</v>
      </c>
      <c r="K17">
        <v>10500</v>
      </c>
      <c r="L17" t="s">
        <v>24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79</v>
      </c>
      <c r="B18" t="s">
        <v>80</v>
      </c>
      <c r="C18">
        <v>58</v>
      </c>
      <c r="D18" t="s">
        <v>19</v>
      </c>
      <c r="E18" t="s">
        <v>44</v>
      </c>
      <c r="F18" t="s">
        <v>45</v>
      </c>
      <c r="G18" s="14">
        <v>46068</v>
      </c>
      <c r="H18" s="14">
        <v>46071</v>
      </c>
      <c r="I18" t="s">
        <v>46</v>
      </c>
      <c r="J18" t="s">
        <v>23</v>
      </c>
      <c r="K18">
        <v>17500</v>
      </c>
      <c r="L18" t="s">
        <v>24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81</v>
      </c>
      <c r="B19" t="s">
        <v>82</v>
      </c>
      <c r="C19">
        <v>33</v>
      </c>
      <c r="D19" t="s">
        <v>27</v>
      </c>
      <c r="E19" t="s">
        <v>28</v>
      </c>
      <c r="F19" t="s">
        <v>29</v>
      </c>
      <c r="G19" s="14">
        <v>46070</v>
      </c>
      <c r="H19" s="14">
        <v>46078</v>
      </c>
      <c r="I19" t="s">
        <v>30</v>
      </c>
      <c r="J19" t="s">
        <v>31</v>
      </c>
      <c r="K19">
        <v>45000</v>
      </c>
      <c r="L19" t="s">
        <v>24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83</v>
      </c>
      <c r="B20" t="s">
        <v>84</v>
      </c>
      <c r="C20">
        <v>47</v>
      </c>
      <c r="D20" t="s">
        <v>19</v>
      </c>
      <c r="E20" t="s">
        <v>55</v>
      </c>
      <c r="F20" t="s">
        <v>56</v>
      </c>
      <c r="G20" s="14">
        <v>46073</v>
      </c>
      <c r="H20" s="14">
        <v>46075</v>
      </c>
      <c r="I20" t="s">
        <v>57</v>
      </c>
      <c r="J20" t="s">
        <v>40</v>
      </c>
      <c r="K20">
        <v>8000</v>
      </c>
      <c r="L20" t="s">
        <v>41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85</v>
      </c>
      <c r="B21" t="s">
        <v>86</v>
      </c>
      <c r="C21">
        <v>55</v>
      </c>
      <c r="D21" t="s">
        <v>27</v>
      </c>
      <c r="E21" t="s">
        <v>20</v>
      </c>
      <c r="F21" t="s">
        <v>39</v>
      </c>
      <c r="G21" s="14">
        <v>46075</v>
      </c>
      <c r="H21" s="14">
        <v>46080</v>
      </c>
      <c r="I21" t="s">
        <v>22</v>
      </c>
      <c r="J21" t="s">
        <v>23</v>
      </c>
      <c r="K21">
        <v>31000</v>
      </c>
      <c r="L21" t="s">
        <v>24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87</v>
      </c>
      <c r="B22" t="s">
        <v>88</v>
      </c>
      <c r="C22">
        <v>40</v>
      </c>
      <c r="D22" t="s">
        <v>19</v>
      </c>
      <c r="E22" t="s">
        <v>34</v>
      </c>
      <c r="F22" t="s">
        <v>49</v>
      </c>
      <c r="G22" s="14">
        <v>46082</v>
      </c>
      <c r="H22" s="14">
        <v>46085</v>
      </c>
      <c r="I22" t="s">
        <v>36</v>
      </c>
      <c r="J22" t="s">
        <v>31</v>
      </c>
      <c r="K22">
        <v>13000</v>
      </c>
      <c r="L22" t="s">
        <v>24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89</v>
      </c>
      <c r="B23" t="s">
        <v>90</v>
      </c>
      <c r="C23">
        <v>63</v>
      </c>
      <c r="D23" t="s">
        <v>27</v>
      </c>
      <c r="E23" t="s">
        <v>44</v>
      </c>
      <c r="F23" t="s">
        <v>68</v>
      </c>
      <c r="G23" s="14">
        <v>46084</v>
      </c>
      <c r="H23" s="14">
        <v>46093</v>
      </c>
      <c r="I23" t="s">
        <v>46</v>
      </c>
      <c r="J23" t="s">
        <v>23</v>
      </c>
      <c r="K23">
        <v>48000</v>
      </c>
      <c r="L23" t="s">
        <v>24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91</v>
      </c>
      <c r="B24" t="s">
        <v>92</v>
      </c>
      <c r="C24">
        <v>27</v>
      </c>
      <c r="D24" t="s">
        <v>19</v>
      </c>
      <c r="E24" t="s">
        <v>28</v>
      </c>
      <c r="F24" t="s">
        <v>71</v>
      </c>
      <c r="G24" s="14">
        <v>46086</v>
      </c>
      <c r="H24" s="14">
        <v>46089</v>
      </c>
      <c r="I24" t="s">
        <v>30</v>
      </c>
      <c r="J24" t="s">
        <v>40</v>
      </c>
      <c r="K24">
        <v>12500</v>
      </c>
      <c r="L24" t="s">
        <v>24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93</v>
      </c>
      <c r="B25" t="s">
        <v>94</v>
      </c>
      <c r="C25">
        <v>51</v>
      </c>
      <c r="D25" t="s">
        <v>27</v>
      </c>
      <c r="E25" t="s">
        <v>55</v>
      </c>
      <c r="F25" t="s">
        <v>74</v>
      </c>
      <c r="G25" s="14">
        <v>46088</v>
      </c>
      <c r="H25" s="14">
        <v>46091</v>
      </c>
      <c r="I25" t="s">
        <v>57</v>
      </c>
      <c r="J25" t="s">
        <v>31</v>
      </c>
      <c r="K25">
        <v>15500</v>
      </c>
      <c r="L25" t="s">
        <v>41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95</v>
      </c>
      <c r="B26" t="s">
        <v>96</v>
      </c>
      <c r="C26">
        <v>70</v>
      </c>
      <c r="D26" t="s">
        <v>19</v>
      </c>
      <c r="E26" t="s">
        <v>20</v>
      </c>
      <c r="F26" t="s">
        <v>52</v>
      </c>
      <c r="G26" s="14">
        <v>46091</v>
      </c>
      <c r="H26" s="14">
        <v>46102</v>
      </c>
      <c r="I26" t="s">
        <v>22</v>
      </c>
      <c r="J26" t="s">
        <v>31</v>
      </c>
      <c r="K26">
        <v>76000</v>
      </c>
      <c r="L26" t="s">
        <v>24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97</v>
      </c>
      <c r="B27" t="s">
        <v>98</v>
      </c>
      <c r="C27">
        <v>37</v>
      </c>
      <c r="D27" t="s">
        <v>27</v>
      </c>
      <c r="E27" t="s">
        <v>34</v>
      </c>
      <c r="F27" t="s">
        <v>63</v>
      </c>
      <c r="G27" s="14">
        <v>46093</v>
      </c>
      <c r="H27" s="14">
        <v>46095</v>
      </c>
      <c r="I27" t="s">
        <v>36</v>
      </c>
      <c r="J27" t="s">
        <v>40</v>
      </c>
      <c r="K27">
        <v>6200</v>
      </c>
      <c r="L27" t="s">
        <v>24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99</v>
      </c>
      <c r="B28" t="s">
        <v>100</v>
      </c>
      <c r="C28">
        <v>44</v>
      </c>
      <c r="D28" t="s">
        <v>19</v>
      </c>
      <c r="E28" t="s">
        <v>28</v>
      </c>
      <c r="F28" t="s">
        <v>60</v>
      </c>
      <c r="G28" s="14">
        <v>46096</v>
      </c>
      <c r="H28" s="14">
        <v>46101</v>
      </c>
      <c r="I28" t="s">
        <v>30</v>
      </c>
      <c r="J28" t="s">
        <v>23</v>
      </c>
      <c r="K28">
        <v>26000</v>
      </c>
      <c r="L28" t="s">
        <v>41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101</v>
      </c>
      <c r="B29" t="s">
        <v>102</v>
      </c>
      <c r="C29">
        <v>30</v>
      </c>
      <c r="D29" t="s">
        <v>27</v>
      </c>
      <c r="E29" t="s">
        <v>44</v>
      </c>
      <c r="F29" t="s">
        <v>45</v>
      </c>
      <c r="G29" s="14">
        <v>46098</v>
      </c>
      <c r="H29" s="14">
        <v>46100</v>
      </c>
      <c r="I29" t="s">
        <v>46</v>
      </c>
      <c r="J29" t="s">
        <v>40</v>
      </c>
      <c r="K29">
        <v>9000</v>
      </c>
      <c r="L29" t="s">
        <v>24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103</v>
      </c>
      <c r="B30" t="s">
        <v>104</v>
      </c>
      <c r="C30">
        <v>59</v>
      </c>
      <c r="D30" t="s">
        <v>19</v>
      </c>
      <c r="E30" t="s">
        <v>55</v>
      </c>
      <c r="F30" t="s">
        <v>56</v>
      </c>
      <c r="G30" s="14">
        <v>46101</v>
      </c>
      <c r="H30" s="14">
        <v>46104</v>
      </c>
      <c r="I30" t="s">
        <v>57</v>
      </c>
      <c r="J30" t="s">
        <v>23</v>
      </c>
      <c r="K30">
        <v>11000</v>
      </c>
      <c r="L30" t="s">
        <v>24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105</v>
      </c>
      <c r="B31" t="s">
        <v>106</v>
      </c>
      <c r="C31">
        <v>46</v>
      </c>
      <c r="D31" t="s">
        <v>27</v>
      </c>
      <c r="E31" t="s">
        <v>20</v>
      </c>
      <c r="F31" t="s">
        <v>21</v>
      </c>
      <c r="G31" s="14">
        <v>46103</v>
      </c>
      <c r="H31" s="14">
        <v>46107</v>
      </c>
      <c r="I31" t="s">
        <v>22</v>
      </c>
      <c r="J31" t="s">
        <v>31</v>
      </c>
      <c r="K31">
        <v>24500</v>
      </c>
      <c r="L31" t="s">
        <v>24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107</v>
      </c>
      <c r="B32" t="s">
        <v>108</v>
      </c>
      <c r="C32">
        <v>35</v>
      </c>
      <c r="D32" t="s">
        <v>19</v>
      </c>
      <c r="E32" t="s">
        <v>34</v>
      </c>
      <c r="F32" t="s">
        <v>35</v>
      </c>
      <c r="G32" s="14">
        <v>46113</v>
      </c>
      <c r="H32" s="14">
        <v>46117</v>
      </c>
      <c r="I32" t="s">
        <v>36</v>
      </c>
      <c r="J32" t="s">
        <v>23</v>
      </c>
      <c r="K32">
        <v>14000</v>
      </c>
      <c r="L32" t="s">
        <v>24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109</v>
      </c>
      <c r="B33" t="s">
        <v>110</v>
      </c>
      <c r="C33">
        <v>62</v>
      </c>
      <c r="D33" t="s">
        <v>27</v>
      </c>
      <c r="E33" t="s">
        <v>44</v>
      </c>
      <c r="F33" t="s">
        <v>68</v>
      </c>
      <c r="G33" s="14">
        <v>46115</v>
      </c>
      <c r="H33" s="14">
        <v>46122</v>
      </c>
      <c r="I33" t="s">
        <v>46</v>
      </c>
      <c r="J33" t="s">
        <v>31</v>
      </c>
      <c r="K33">
        <v>41000</v>
      </c>
      <c r="L33" t="s">
        <v>41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111</v>
      </c>
      <c r="B34" t="s">
        <v>112</v>
      </c>
      <c r="C34">
        <v>49</v>
      </c>
      <c r="D34" t="s">
        <v>19</v>
      </c>
      <c r="E34" t="s">
        <v>28</v>
      </c>
      <c r="F34" t="s">
        <v>29</v>
      </c>
      <c r="G34" s="14">
        <v>46117</v>
      </c>
      <c r="H34" s="14">
        <v>46126</v>
      </c>
      <c r="I34" t="s">
        <v>30</v>
      </c>
      <c r="J34" t="s">
        <v>23</v>
      </c>
      <c r="K34">
        <v>47000</v>
      </c>
      <c r="L34" t="s">
        <v>24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113</v>
      </c>
      <c r="B35" t="s">
        <v>114</v>
      </c>
      <c r="C35">
        <v>38</v>
      </c>
      <c r="D35" t="s">
        <v>27</v>
      </c>
      <c r="E35" t="s">
        <v>55</v>
      </c>
      <c r="F35" t="s">
        <v>74</v>
      </c>
      <c r="G35" s="14">
        <v>46119</v>
      </c>
      <c r="H35" s="14">
        <v>46123</v>
      </c>
      <c r="I35" t="s">
        <v>57</v>
      </c>
      <c r="J35" t="s">
        <v>40</v>
      </c>
      <c r="K35">
        <v>17000</v>
      </c>
      <c r="L35" t="s">
        <v>24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115</v>
      </c>
      <c r="B36" t="s">
        <v>116</v>
      </c>
      <c r="C36">
        <v>66</v>
      </c>
      <c r="D36" t="s">
        <v>19</v>
      </c>
      <c r="E36" t="s">
        <v>20</v>
      </c>
      <c r="F36" t="s">
        <v>39</v>
      </c>
      <c r="G36" s="14">
        <v>46122</v>
      </c>
      <c r="H36" s="14">
        <v>46128</v>
      </c>
      <c r="I36" t="s">
        <v>22</v>
      </c>
      <c r="J36" t="s">
        <v>31</v>
      </c>
      <c r="K36">
        <v>35000</v>
      </c>
      <c r="L36" t="s">
        <v>41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117</v>
      </c>
      <c r="B37" t="s">
        <v>118</v>
      </c>
      <c r="C37">
        <v>26</v>
      </c>
      <c r="D37" t="s">
        <v>27</v>
      </c>
      <c r="E37" t="s">
        <v>34</v>
      </c>
      <c r="F37" t="s">
        <v>63</v>
      </c>
      <c r="G37" s="14">
        <v>46124</v>
      </c>
      <c r="H37" s="14">
        <v>46126</v>
      </c>
      <c r="I37" t="s">
        <v>36</v>
      </c>
      <c r="J37" t="s">
        <v>40</v>
      </c>
      <c r="K37">
        <v>5800</v>
      </c>
      <c r="L37" t="s">
        <v>24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119</v>
      </c>
      <c r="B38" t="s">
        <v>120</v>
      </c>
      <c r="C38">
        <v>54</v>
      </c>
      <c r="D38" t="s">
        <v>19</v>
      </c>
      <c r="E38" t="s">
        <v>28</v>
      </c>
      <c r="F38" t="s">
        <v>71</v>
      </c>
      <c r="G38" s="14">
        <v>46127</v>
      </c>
      <c r="H38" s="14">
        <v>46131</v>
      </c>
      <c r="I38" t="s">
        <v>30</v>
      </c>
      <c r="J38" t="s">
        <v>23</v>
      </c>
      <c r="K38">
        <v>19000</v>
      </c>
      <c r="L38" t="s">
        <v>24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121</v>
      </c>
      <c r="B39" t="s">
        <v>122</v>
      </c>
      <c r="C39">
        <v>43</v>
      </c>
      <c r="D39" t="s">
        <v>27</v>
      </c>
      <c r="E39" t="s">
        <v>44</v>
      </c>
      <c r="F39" t="s">
        <v>45</v>
      </c>
      <c r="G39" s="14">
        <v>46130</v>
      </c>
      <c r="H39" s="14">
        <v>46132</v>
      </c>
      <c r="I39" t="s">
        <v>46</v>
      </c>
      <c r="J39" t="s">
        <v>40</v>
      </c>
      <c r="K39">
        <v>8500</v>
      </c>
      <c r="L39" t="s">
        <v>24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123</v>
      </c>
      <c r="B40" t="s">
        <v>124</v>
      </c>
      <c r="C40">
        <v>71</v>
      </c>
      <c r="D40" t="s">
        <v>19</v>
      </c>
      <c r="E40" t="s">
        <v>55</v>
      </c>
      <c r="F40" t="s">
        <v>56</v>
      </c>
      <c r="G40" s="14">
        <v>46132</v>
      </c>
      <c r="H40" s="14">
        <v>46136</v>
      </c>
      <c r="I40" t="s">
        <v>57</v>
      </c>
      <c r="J40" t="s">
        <v>31</v>
      </c>
      <c r="K40">
        <v>12500</v>
      </c>
      <c r="L40" t="s">
        <v>41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125</v>
      </c>
      <c r="B41" t="s">
        <v>126</v>
      </c>
      <c r="C41">
        <v>50</v>
      </c>
      <c r="D41" t="s">
        <v>27</v>
      </c>
      <c r="E41" t="s">
        <v>20</v>
      </c>
      <c r="F41" t="s">
        <v>52</v>
      </c>
      <c r="G41" s="14">
        <v>46134</v>
      </c>
      <c r="H41" s="14">
        <v>46144</v>
      </c>
      <c r="I41" t="s">
        <v>22</v>
      </c>
      <c r="J41" t="s">
        <v>23</v>
      </c>
      <c r="K41">
        <v>69000</v>
      </c>
      <c r="L41" t="s">
        <v>24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127</v>
      </c>
      <c r="H47">
        <f>SUM(K2:K41)</f>
        <v>1019500</v>
      </c>
    </row>
    <row r="48" spans="1:22">
      <c r="E48" t="s">
        <v>128</v>
      </c>
      <c r="H48">
        <f>SUMIF(E2:E41,E39,K2:K41)</f>
        <v>179000</v>
      </c>
    </row>
    <row r="49" spans="5:8">
      <c r="E49" t="s">
        <v>129</v>
      </c>
      <c r="H49">
        <f>COUNTIF(E2:E41,E35)</f>
        <v>7</v>
      </c>
    </row>
    <row r="50" spans="5:8">
      <c r="E50" t="s">
        <v>130</v>
      </c>
      <c r="H50">
        <f>AVERAGEIF(E2:E41,E39,K2:K41)</f>
        <v>25571.4285714286</v>
      </c>
    </row>
    <row r="51" spans="5:8">
      <c r="E51" t="s">
        <v>131</v>
      </c>
      <c r="H51">
        <f>SUMIF(J2:J41,J40,K2:K41)</f>
        <v>499500</v>
      </c>
    </row>
    <row r="52" spans="5:8">
      <c r="E52" t="s">
        <v>132</v>
      </c>
      <c r="H52">
        <f>COUNTIF(L2:L41,L40)</f>
        <v>10</v>
      </c>
    </row>
    <row r="53" spans="5:8">
      <c r="E53" t="s">
        <v>133</v>
      </c>
      <c r="H53">
        <f>SUMIF(L2:L41,L36,K2:K41)</f>
        <v>344500</v>
      </c>
    </row>
    <row r="54" spans="5:8">
      <c r="E54" t="s">
        <v>134</v>
      </c>
      <c r="H54">
        <f>SUMIFS(K2:K41,E2:E41,E8,J2:J41,J40)</f>
        <v>275500</v>
      </c>
    </row>
    <row r="55" spans="5:8">
      <c r="E55" t="s">
        <v>135</v>
      </c>
      <c r="H55">
        <f>COUNTIFS(E2:E41,E41,L2:L41,L40)</f>
        <v>4</v>
      </c>
    </row>
    <row r="56" spans="5:8">
      <c r="E56" t="s">
        <v>136</v>
      </c>
      <c r="H56">
        <f>AVERAGEIF(J2:J41,J41,K2:K41)</f>
        <v>25766.6666666667</v>
      </c>
    </row>
    <row r="57" spans="5:8">
      <c r="E57" t="s">
        <v>137</v>
      </c>
      <c r="H57">
        <f>COUNTIF(K2:K41,"&gt;40000")</f>
        <v>9</v>
      </c>
    </row>
    <row r="58" spans="5:8">
      <c r="E58" t="s">
        <v>138</v>
      </c>
      <c r="H58">
        <f>SUMIF(K2:K41,"&gt;40000")</f>
        <v>508000</v>
      </c>
    </row>
    <row r="59" spans="5:8">
      <c r="E59" t="s">
        <v>139</v>
      </c>
      <c r="H59">
        <f>COUNTIF(M2:M41,"&gt;5")</f>
        <v>11</v>
      </c>
    </row>
    <row r="60" spans="5:8">
      <c r="E60" t="s">
        <v>140</v>
      </c>
      <c r="H60">
        <f>SUMIF(M2:M41,"&gt;5")</f>
        <v>94</v>
      </c>
    </row>
    <row r="61" spans="5:8">
      <c r="E61" t="s">
        <v>141</v>
      </c>
      <c r="H61">
        <f>SUMIFS(K2:K41,E2:E41,E36,M2:M41,"&gt;5")</f>
        <v>320000</v>
      </c>
    </row>
    <row r="62" spans="5:8">
      <c r="E62" t="s">
        <v>142</v>
      </c>
      <c r="H62">
        <f>AVERAGEIF(L2:L41,L28,M2:M41)</f>
        <v>5.8</v>
      </c>
    </row>
    <row r="63" spans="5:8">
      <c r="E63" t="s">
        <v>143</v>
      </c>
      <c r="H63">
        <f>_xlfn.MAXIFS(K2:K41,E2:E41,E41)</f>
        <v>76000</v>
      </c>
    </row>
    <row r="64" spans="5:8">
      <c r="E64" t="s">
        <v>144</v>
      </c>
      <c r="H64">
        <f>_xlfn.MINIFS(K2:K41,E2:E41,E28)</f>
        <v>12500</v>
      </c>
    </row>
    <row r="65" spans="5:8">
      <c r="E65" t="s">
        <v>145</v>
      </c>
      <c r="H65">
        <f>COUNTIFS(E2:E41,E26,L2:L41,L25)</f>
        <v>4</v>
      </c>
    </row>
    <row r="66" spans="5:8">
      <c r="E66" t="s">
        <v>146</v>
      </c>
      <c r="H66">
        <f>AVERAGEIFS(K2:K41,E2:E41,E31,J2:J41,J31)</f>
        <v>55100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zoomScale="180" zoomScaleNormal="180" workbookViewId="0">
      <selection activeCell="E32" sqref="E32"/>
    </sheetView>
  </sheetViews>
  <sheetFormatPr defaultColWidth="9" defaultRowHeight="14.4" outlineLevelCol="6"/>
  <cols>
    <col min="1" max="1" width="98.1111111111111" customWidth="1"/>
    <col min="2" max="2" width="14" customWidth="1"/>
  </cols>
  <sheetData>
    <row r="1" spans="1:1">
      <c r="A1" s="8" t="s">
        <v>147</v>
      </c>
    </row>
    <row r="2" spans="1:1">
      <c r="A2" t="s">
        <v>148</v>
      </c>
    </row>
    <row r="3" ht="15" spans="1:1">
      <c r="A3" t="s">
        <v>149</v>
      </c>
    </row>
    <row r="5" spans="1:1">
      <c r="A5" t="s">
        <v>150</v>
      </c>
    </row>
    <row r="6" ht="15" spans="1:1">
      <c r="A6" s="9" t="s">
        <v>151</v>
      </c>
    </row>
    <row r="7" ht="15" spans="1:1">
      <c r="A7" s="9" t="s">
        <v>152</v>
      </c>
    </row>
    <row r="9" spans="1:1">
      <c r="A9" t="s">
        <v>153</v>
      </c>
    </row>
    <row r="10" spans="1:1">
      <c r="A10" t="s">
        <v>154</v>
      </c>
    </row>
    <row r="11" spans="1:1">
      <c r="A11" t="s">
        <v>155</v>
      </c>
    </row>
    <row r="12" spans="1:1">
      <c r="A12" s="9"/>
    </row>
    <row r="13" spans="1:1">
      <c r="A13" t="s">
        <v>156</v>
      </c>
    </row>
    <row r="14" spans="1:1">
      <c r="A14" s="9" t="s">
        <v>157</v>
      </c>
    </row>
    <row r="15" spans="1:1">
      <c r="A15" s="10" t="s">
        <v>158</v>
      </c>
    </row>
    <row r="16" spans="1:1">
      <c r="A16" s="9" t="s">
        <v>159</v>
      </c>
    </row>
    <row r="18" spans="1:4">
      <c r="A18" t="s">
        <v>160</v>
      </c>
    </row>
    <row r="19" spans="1:4">
      <c r="A19" s="9" t="s">
        <v>161</v>
      </c>
    </row>
    <row r="20" spans="1:4">
      <c r="A20" s="9" t="s">
        <v>158</v>
      </c>
    </row>
    <row r="21" spans="1:4">
      <c r="A21" s="9" t="s">
        <v>162</v>
      </c>
    </row>
    <row r="23" spans="1:4">
      <c r="A23" t="s">
        <v>163</v>
      </c>
    </row>
    <row r="24" spans="1:4">
      <c r="A24" s="9" t="s">
        <v>164</v>
      </c>
    </row>
    <row r="25" spans="1:4">
      <c r="A25" s="9" t="s">
        <v>165</v>
      </c>
    </row>
    <row r="27" spans="1:4">
      <c r="A27" t="s">
        <v>166</v>
      </c>
    </row>
    <row r="28" spans="1:4">
      <c r="A28" t="s">
        <v>167</v>
      </c>
    </row>
    <row r="29" ht="15" spans="1:4">
      <c r="A29" s="11"/>
    </row>
    <row r="30" spans="1:4">
      <c r="A30" t="s">
        <v>168</v>
      </c>
      <c r="B30" s="1" t="s">
        <v>169</v>
      </c>
      <c r="C30" s="2" t="s">
        <v>170</v>
      </c>
    </row>
    <row r="31" spans="1:4">
      <c r="B31" s="3" t="s">
        <v>171</v>
      </c>
      <c r="C31" s="4" t="s">
        <v>172</v>
      </c>
      <c r="D31" t="s">
        <v>173</v>
      </c>
    </row>
    <row r="32" spans="1:4">
      <c r="B32" s="3" t="s">
        <v>174</v>
      </c>
      <c r="C32" s="4" t="s">
        <v>175</v>
      </c>
      <c r="D32" t="s">
        <v>176</v>
      </c>
    </row>
    <row r="33" ht="15" spans="1:7">
      <c r="A33" s="11"/>
      <c r="B33" s="3" t="s">
        <v>177</v>
      </c>
      <c r="C33" s="4" t="s">
        <v>178</v>
      </c>
      <c r="D33" t="s">
        <v>179</v>
      </c>
    </row>
    <row r="34" spans="1:7">
      <c r="B34" s="3" t="s">
        <v>180</v>
      </c>
      <c r="C34" s="4" t="s">
        <v>181</v>
      </c>
      <c r="D34" t="s">
        <v>182</v>
      </c>
      <c r="G34" t="s">
        <v>183</v>
      </c>
    </row>
    <row r="37" spans="1:7">
      <c r="A37" t="s">
        <v>184</v>
      </c>
    </row>
    <row r="38" spans="1:7">
      <c r="A38" s="9" t="s">
        <v>185</v>
      </c>
    </row>
    <row r="39" spans="1:7">
      <c r="A39" s="9" t="s">
        <v>186</v>
      </c>
    </row>
    <row r="40" spans="1:7">
      <c r="A40" t="s">
        <v>187</v>
      </c>
    </row>
    <row r="42" spans="1:7">
      <c r="A42" t="s">
        <v>188</v>
      </c>
    </row>
    <row r="43" spans="1:7">
      <c r="A43" s="9"/>
    </row>
    <row r="44" spans="1:7">
      <c r="A44" s="9" t="s">
        <v>189</v>
      </c>
    </row>
    <row r="45" spans="1:7">
      <c r="A45" s="10" t="s">
        <v>190</v>
      </c>
    </row>
    <row r="47" ht="15" spans="1:7">
      <c r="A47" s="1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G21" sqref="G21"/>
    </sheetView>
  </sheetViews>
  <sheetFormatPr defaultColWidth="9" defaultRowHeight="14.4" outlineLevelCol="3"/>
  <cols>
    <col min="2" max="2" width="23.5555555555556" customWidth="1"/>
    <col min="3" max="3" width="17.2222222222222" customWidth="1"/>
    <col min="4" max="4" width="21.1111111111111" customWidth="1"/>
  </cols>
  <sheetData>
    <row r="1" spans="1:4">
      <c r="A1" s="1" t="s">
        <v>191</v>
      </c>
      <c r="B1" s="2" t="s">
        <v>192</v>
      </c>
      <c r="C1" s="2" t="s">
        <v>193</v>
      </c>
      <c r="D1" s="1" t="s">
        <v>194</v>
      </c>
    </row>
    <row r="2" ht="15" spans="1:4">
      <c r="A2" s="3">
        <v>1</v>
      </c>
      <c r="B2" s="4" t="s">
        <v>195</v>
      </c>
      <c r="C2" s="5" t="s">
        <v>196</v>
      </c>
      <c r="D2" s="6">
        <v>1019500</v>
      </c>
    </row>
    <row r="3" ht="15" spans="1:4">
      <c r="A3" s="3">
        <v>2</v>
      </c>
      <c r="B3" s="4" t="s">
        <v>197</v>
      </c>
      <c r="C3" s="5" t="s">
        <v>198</v>
      </c>
      <c r="D3" s="6">
        <v>443500</v>
      </c>
    </row>
    <row r="4" ht="15" spans="1:4">
      <c r="A4" s="3">
        <v>2</v>
      </c>
      <c r="B4" s="4" t="s">
        <v>199</v>
      </c>
      <c r="C4" s="5" t="s">
        <v>198</v>
      </c>
      <c r="D4" s="6">
        <v>89500</v>
      </c>
    </row>
    <row r="5" ht="15" spans="1:4">
      <c r="A5" s="3">
        <v>2</v>
      </c>
      <c r="B5" s="4" t="s">
        <v>200</v>
      </c>
      <c r="C5" s="5" t="s">
        <v>198</v>
      </c>
      <c r="D5" s="6">
        <v>77500</v>
      </c>
    </row>
    <row r="6" ht="15" spans="1:4">
      <c r="A6" s="3">
        <v>2</v>
      </c>
      <c r="B6" s="4" t="s">
        <v>201</v>
      </c>
      <c r="C6" s="5" t="s">
        <v>198</v>
      </c>
      <c r="D6" s="6">
        <v>179000</v>
      </c>
    </row>
    <row r="7" ht="15" spans="1:4">
      <c r="A7" s="3">
        <v>2</v>
      </c>
      <c r="B7" s="4" t="s">
        <v>202</v>
      </c>
      <c r="C7" s="5" t="s">
        <v>198</v>
      </c>
      <c r="D7" s="6">
        <v>230000</v>
      </c>
    </row>
    <row r="8" ht="15" spans="1:4">
      <c r="A8" s="3">
        <v>3</v>
      </c>
      <c r="B8" s="4" t="s">
        <v>203</v>
      </c>
      <c r="C8" s="5" t="s">
        <v>204</v>
      </c>
      <c r="D8" s="1">
        <v>10</v>
      </c>
    </row>
    <row r="9" ht="15" spans="1:4">
      <c r="A9" s="3">
        <v>3</v>
      </c>
      <c r="B9" s="4" t="s">
        <v>205</v>
      </c>
      <c r="C9" s="5" t="s">
        <v>204</v>
      </c>
      <c r="D9" s="1">
        <v>7</v>
      </c>
    </row>
    <row r="10" ht="15" spans="1:4">
      <c r="A10" s="3">
        <v>3</v>
      </c>
      <c r="B10" s="4" t="s">
        <v>206</v>
      </c>
      <c r="C10" s="5" t="s">
        <v>204</v>
      </c>
      <c r="D10" s="1">
        <v>8</v>
      </c>
    </row>
    <row r="11" ht="15" spans="1:4">
      <c r="A11" s="3">
        <v>3</v>
      </c>
      <c r="B11" s="4" t="s">
        <v>207</v>
      </c>
      <c r="C11" s="5" t="s">
        <v>204</v>
      </c>
      <c r="D11" s="1">
        <v>7</v>
      </c>
    </row>
    <row r="12" ht="15" spans="1:4">
      <c r="A12" s="3">
        <v>3</v>
      </c>
      <c r="B12" s="4" t="s">
        <v>208</v>
      </c>
      <c r="C12" s="5" t="s">
        <v>204</v>
      </c>
      <c r="D12" s="1">
        <v>8</v>
      </c>
    </row>
    <row r="13" ht="15" spans="1:4">
      <c r="A13" s="3">
        <v>4</v>
      </c>
      <c r="B13" s="4" t="s">
        <v>209</v>
      </c>
      <c r="C13" s="5" t="s">
        <v>210</v>
      </c>
      <c r="D13" s="6">
        <v>44350</v>
      </c>
    </row>
    <row r="14" ht="15" spans="1:4">
      <c r="A14" s="3">
        <v>4</v>
      </c>
      <c r="B14" s="4" t="s">
        <v>211</v>
      </c>
      <c r="C14" s="5" t="s">
        <v>210</v>
      </c>
      <c r="D14" s="7">
        <v>12785.71</v>
      </c>
    </row>
    <row r="15" ht="15" spans="1:4">
      <c r="A15" s="3">
        <v>4</v>
      </c>
      <c r="B15" s="4" t="s">
        <v>212</v>
      </c>
      <c r="C15" s="5" t="s">
        <v>210</v>
      </c>
      <c r="D15" s="7">
        <v>9687.5</v>
      </c>
    </row>
    <row r="16" ht="15" spans="1:4">
      <c r="A16" s="3">
        <v>4</v>
      </c>
      <c r="B16" s="4" t="s">
        <v>213</v>
      </c>
      <c r="C16" s="5" t="s">
        <v>210</v>
      </c>
      <c r="D16" s="7">
        <v>25571.43</v>
      </c>
    </row>
    <row r="17" ht="15" spans="1:4">
      <c r="A17" s="3">
        <v>4</v>
      </c>
      <c r="B17" s="4" t="s">
        <v>214</v>
      </c>
      <c r="C17" s="5" t="s">
        <v>210</v>
      </c>
      <c r="D17" s="6">
        <v>28750</v>
      </c>
    </row>
    <row r="18" ht="15" spans="1:4">
      <c r="A18" s="3">
        <v>5</v>
      </c>
      <c r="B18" s="4" t="s">
        <v>215</v>
      </c>
      <c r="C18" s="5" t="s">
        <v>198</v>
      </c>
      <c r="D18" s="6">
        <v>499500</v>
      </c>
    </row>
    <row r="19" ht="15" spans="1:4">
      <c r="A19" s="3">
        <v>6</v>
      </c>
      <c r="B19" s="4" t="s">
        <v>216</v>
      </c>
      <c r="C19" s="5" t="s">
        <v>204</v>
      </c>
      <c r="D19" s="1">
        <v>10</v>
      </c>
    </row>
    <row r="20" ht="15" spans="1:4">
      <c r="A20" s="3">
        <v>7</v>
      </c>
      <c r="B20" s="4" t="s">
        <v>217</v>
      </c>
      <c r="C20" s="5" t="s">
        <v>198</v>
      </c>
      <c r="D20" s="6">
        <v>344500</v>
      </c>
    </row>
    <row r="21" ht="15" spans="1:4">
      <c r="A21" s="3">
        <v>8</v>
      </c>
      <c r="B21" s="4" t="s">
        <v>218</v>
      </c>
      <c r="C21" s="5" t="s">
        <v>219</v>
      </c>
      <c r="D21" s="6">
        <v>275500</v>
      </c>
    </row>
    <row r="22" ht="15" spans="1:4">
      <c r="A22" s="3">
        <v>9</v>
      </c>
      <c r="B22" s="4" t="s">
        <v>220</v>
      </c>
      <c r="C22" s="5" t="s">
        <v>221</v>
      </c>
      <c r="D22" s="1">
        <v>4</v>
      </c>
    </row>
    <row r="23" ht="15" spans="1:4">
      <c r="A23" s="3">
        <v>10</v>
      </c>
      <c r="B23" s="4" t="s">
        <v>222</v>
      </c>
      <c r="C23" s="5" t="s">
        <v>210</v>
      </c>
      <c r="D23" s="7">
        <v>25766.67</v>
      </c>
    </row>
    <row r="24" ht="15" spans="1:4">
      <c r="A24" s="3">
        <v>11</v>
      </c>
      <c r="B24" s="4" t="s">
        <v>223</v>
      </c>
      <c r="C24" s="5" t="s">
        <v>204</v>
      </c>
      <c r="D24" s="1">
        <v>9</v>
      </c>
    </row>
    <row r="25" ht="15" spans="1:4">
      <c r="A25" s="3">
        <v>12</v>
      </c>
      <c r="B25" s="4" t="s">
        <v>224</v>
      </c>
      <c r="C25" s="5" t="s">
        <v>198</v>
      </c>
      <c r="D25" s="6">
        <v>508000</v>
      </c>
    </row>
    <row r="26" ht="15" spans="1:4">
      <c r="A26" s="3">
        <v>13</v>
      </c>
      <c r="B26" s="4" t="s">
        <v>225</v>
      </c>
      <c r="C26" s="5" t="s">
        <v>204</v>
      </c>
      <c r="D26" s="1">
        <v>11</v>
      </c>
    </row>
    <row r="27" ht="15" spans="1:4">
      <c r="A27" s="3">
        <v>14</v>
      </c>
      <c r="B27" s="4" t="s">
        <v>226</v>
      </c>
      <c r="C27" s="5" t="s">
        <v>198</v>
      </c>
      <c r="D27" s="6">
        <v>582000</v>
      </c>
    </row>
    <row r="28" ht="15" spans="1:4">
      <c r="A28" s="3">
        <v>15</v>
      </c>
      <c r="B28" s="4" t="s">
        <v>227</v>
      </c>
      <c r="C28" s="5" t="s">
        <v>219</v>
      </c>
      <c r="D28" s="6">
        <v>320000</v>
      </c>
    </row>
    <row r="29" ht="15" spans="1:4">
      <c r="A29" s="3">
        <v>16</v>
      </c>
      <c r="B29" s="4" t="s">
        <v>228</v>
      </c>
      <c r="C29" s="5" t="s">
        <v>210</v>
      </c>
      <c r="D29" s="1" t="s">
        <v>229</v>
      </c>
    </row>
    <row r="30" ht="15" spans="1:4">
      <c r="A30" s="3">
        <v>17</v>
      </c>
      <c r="B30" s="4" t="s">
        <v>230</v>
      </c>
      <c r="C30" s="5" t="s">
        <v>231</v>
      </c>
      <c r="D30" s="6">
        <v>76000</v>
      </c>
    </row>
    <row r="31" ht="15" spans="1:4">
      <c r="A31" s="3">
        <v>18</v>
      </c>
      <c r="B31" s="4" t="s">
        <v>232</v>
      </c>
      <c r="C31" s="5" t="s">
        <v>233</v>
      </c>
      <c r="D31" s="6">
        <v>12500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suraj</cp:lastModifiedBy>
  <dcterms:created xsi:type="dcterms:W3CDTF">2026-09-09T05:55:00Z</dcterms:created>
  <dcterms:modified xsi:type="dcterms:W3CDTF">2026-10-30T06:03:13Z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F9ED2D36780E421CAF777DC798AFDBCF_13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